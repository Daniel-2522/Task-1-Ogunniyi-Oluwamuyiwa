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Trend" sheetId="1" r:id="rId5"/>
    <sheet state="visible" name="Order Status" sheetId="2" r:id="rId6"/>
    <sheet state="visible" name="Referral method" sheetId="3" r:id="rId7"/>
    <sheet state="visible" name="Product" sheetId="4" r:id="rId8"/>
    <sheet state="visible" name="Payment method" sheetId="5" r:id="rId9"/>
    <sheet state="visible" name="Total Sales" sheetId="6" r:id="rId10"/>
    <sheet state="visible" name="Dashboard" sheetId="7" r:id="rId11"/>
    <sheet state="hidden" name="Pivot Table 1" sheetId="8" r:id="rId12"/>
  </sheets>
  <definedNames/>
  <calcPr/>
</workbook>
</file>

<file path=xl/sharedStrings.xml><?xml version="1.0" encoding="utf-8"?>
<sst xmlns="http://schemas.openxmlformats.org/spreadsheetml/2006/main" count="64" uniqueCount="37">
  <si>
    <t>Chair</t>
  </si>
  <si>
    <t>Instagram</t>
  </si>
  <si>
    <t>Referral</t>
  </si>
  <si>
    <t>Facebook</t>
  </si>
  <si>
    <t>Email</t>
  </si>
  <si>
    <t>Google</t>
  </si>
  <si>
    <t>Shipped</t>
  </si>
  <si>
    <t>Cancelled</t>
  </si>
  <si>
    <t>Returned</t>
  </si>
  <si>
    <t>Delivered</t>
  </si>
  <si>
    <t>Pending</t>
  </si>
  <si>
    <t>Tablet</t>
  </si>
  <si>
    <t>Phone</t>
  </si>
  <si>
    <t>Monitor</t>
  </si>
  <si>
    <t>Printer</t>
  </si>
  <si>
    <t>Laptop</t>
  </si>
  <si>
    <t>Desk</t>
  </si>
  <si>
    <t>GRAND TOTAL</t>
  </si>
  <si>
    <t>JANUARY</t>
  </si>
  <si>
    <t>FEBUARY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</si>
  <si>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</si>
  <si>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</si>
  <si>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</si>
  <si>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</si>
  <si>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</si>
  <si>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</si>
  <si>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</si>
  <si>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</si>
  <si>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</si>
  <si>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</si>
  <si>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SALES</t>
  </si>
  <si>
    <t>Online</t>
  </si>
  <si>
    <t>Cash</t>
  </si>
  <si>
    <t>Credit card</t>
  </si>
  <si>
    <t>Debit card</t>
  </si>
  <si>
    <t>Gift card</t>
  </si>
  <si>
    <t>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</si>
</sst>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4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Chair, Desk, Laptop, Monitor, Phone…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'Sales Trend'!$D$4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Trend'!$D$5:$D$16</c:f>
              <c:numCache/>
            </c:numRef>
          </c:val>
        </c:ser>
        <c:ser>
          <c:idx val="1"/>
          <c:order val="1"/>
          <c:tx>
            <c:strRef>
              <c:f>'Sales Trend'!$E$4</c:f>
            </c:strRef>
          </c:tx>
          <c:spPr>
            <a:solidFill>
              <a:schemeClr val="accent2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Trend'!$E$5:$E$16</c:f>
              <c:numCache/>
            </c:numRef>
          </c:val>
        </c:ser>
        <c:ser>
          <c:idx val="2"/>
          <c:order val="2"/>
          <c:tx>
            <c:strRef>
              <c:f>'Sales Trend'!$F$4</c:f>
            </c:strRef>
          </c:tx>
          <c:spPr>
            <a:solidFill>
              <a:schemeClr val="accent3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Trend'!$F$5:$F$16</c:f>
              <c:numCache/>
            </c:numRef>
          </c:val>
        </c:ser>
        <c:ser>
          <c:idx val="3"/>
          <c:order val="3"/>
          <c:tx>
            <c:strRef>
              <c:f>'Sales Trend'!$G$4</c:f>
            </c:strRef>
          </c:tx>
          <c:spPr>
            <a:solidFill>
              <a:schemeClr val="accent4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Trend'!$G$5:$G$16</c:f>
              <c:numCache/>
            </c:numRef>
          </c:val>
        </c:ser>
        <c:ser>
          <c:idx val="4"/>
          <c:order val="4"/>
          <c:tx>
            <c:strRef>
              <c:f>'Sales Trend'!$H$4</c:f>
            </c:strRef>
          </c:tx>
          <c:spPr>
            <a:solidFill>
              <a:schemeClr val="accent5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Trend'!$H$5:$H$16</c:f>
              <c:numCache/>
            </c:numRef>
          </c:val>
        </c:ser>
        <c:ser>
          <c:idx val="5"/>
          <c:order val="5"/>
          <c:tx>
            <c:strRef>
              <c:f>'Sales Trend'!$I$4</c:f>
            </c:strRef>
          </c:tx>
          <c:spPr>
            <a:solidFill>
              <a:schemeClr val="accent6"/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Trend'!$I$5:$I$16</c:f>
              <c:numCache/>
            </c:numRef>
          </c:val>
        </c:ser>
        <c:ser>
          <c:idx val="6"/>
          <c:order val="6"/>
          <c:tx>
            <c:strRef>
              <c:f>'Sales Trend'!$J$4</c:f>
            </c:strRef>
          </c:tx>
          <c:spPr>
            <a:solidFill>
              <a:schemeClr val="accent1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Trend'!$J$5:$J$16</c:f>
              <c:numCache/>
            </c:numRef>
          </c:val>
        </c:ser>
        <c:ser>
          <c:idx val="7"/>
          <c:order val="7"/>
          <c:tx>
            <c:strRef>
              <c:f>'Sales Trend'!$K$4</c:f>
            </c:strRef>
          </c:tx>
          <c:spPr>
            <a:solidFill>
              <a:schemeClr val="accent2">
                <a:lumOff val="30000"/>
              </a:schemeClr>
            </a:solidFill>
            <a:ln cmpd="sng">
              <a:noFill/>
            </a:ln>
          </c:spPr>
          <c:invertIfNegative val="0"/>
          <c:cat>
            <c:strRef>
              <c:f>'Sales Trend'!$C$5:$C$16</c:f>
            </c:strRef>
          </c:cat>
          <c:val>
            <c:numRef>
              <c:f>'Sales Trend'!$K$5:$K$16</c:f>
              <c:numCache/>
            </c:numRef>
          </c:val>
        </c:ser>
        <c:overlap val="100"/>
        <c:axId val="2070047420"/>
        <c:axId val="208061040"/>
      </c:barChart>
      <c:catAx>
        <c:axId val="20700474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8061040"/>
      </c:catAx>
      <c:valAx>
        <c:axId val="2080610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00474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'Order Status'!$E$6:$E$10</c:f>
            </c:strRef>
          </c:cat>
          <c:val>
            <c:numRef>
              <c:f>'Order Status'!$F$6:$F$10</c:f>
              <c:numCache/>
            </c:numRef>
          </c:val>
        </c:ser>
        <c:axId val="1713691625"/>
        <c:axId val="42428429"/>
      </c:barChart>
      <c:catAx>
        <c:axId val="171369162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28429"/>
      </c:catAx>
      <c:valAx>
        <c:axId val="4242842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369162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'Referral method'!$D$6:$D$10</c:f>
            </c:strRef>
          </c:cat>
          <c:val>
            <c:numRef>
              <c:f>'Referral method'!$E$6:$E$10</c:f>
              <c:numCache/>
            </c:numRef>
          </c:val>
        </c:ser>
        <c:axId val="1002238302"/>
        <c:axId val="1116042300"/>
      </c:barChart>
      <c:catAx>
        <c:axId val="10022383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6042300"/>
      </c:catAx>
      <c:valAx>
        <c:axId val="11160423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22383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 </a:t>
            </a:r>
          </a:p>
        </c:rich>
      </c:tx>
      <c:overlay val="0"/>
    </c:title>
    <c:plotArea>
      <c:layout/>
      <c:barChart>
        <c:barDir val="bar"/>
        <c:grouping val="stacked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Product!$F$6:$F$12</c:f>
            </c:strRef>
          </c:cat>
          <c:val>
            <c:numRef>
              <c:f>Product!$G$6:$G$12</c:f>
              <c:numCache/>
            </c:numRef>
          </c:val>
        </c:ser>
        <c:overlap val="100"/>
        <c:axId val="340417359"/>
        <c:axId val="1572393614"/>
      </c:barChart>
      <c:catAx>
        <c:axId val="3404173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72393614"/>
      </c:catAx>
      <c:valAx>
        <c:axId val="15723936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041735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vs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'Payment method'!$E$5:$E$9</c:f>
            </c:strRef>
          </c:cat>
          <c:val>
            <c:numRef>
              <c:f>'Payment method'!$F$5:$F$9</c:f>
              <c:numCache/>
            </c:numRef>
          </c:val>
        </c:ser>
        <c:axId val="1354870271"/>
        <c:axId val="188523754"/>
      </c:barChart>
      <c:catAx>
        <c:axId val="13548702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23754"/>
      </c:catAx>
      <c:valAx>
        <c:axId val="188523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487027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523875</xdr:colOff>
      <xdr:row>1</xdr:row>
      <xdr:rowOff>114300</xdr:rowOff>
    </xdr:from>
    <xdr:ext cx="6019800" cy="43815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171450</xdr:colOff>
      <xdr:row>1</xdr:row>
      <xdr:rowOff>57150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200025</xdr:colOff>
      <xdr:row>1</xdr:row>
      <xdr:rowOff>9525</xdr:rowOff>
    </xdr:from>
    <xdr:ext cx="52959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152400</xdr:colOff>
      <xdr:row>2</xdr:row>
      <xdr:rowOff>9525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142875</xdr:colOff>
      <xdr:row>1</xdr:row>
      <xdr:rowOff>180975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31</xdr:row>
      <xdr:rowOff>104775</xdr:rowOff>
    </xdr:from>
    <xdr:ext cx="4838700" cy="4067175"/>
    <xdr:grpSp>
      <xdr:nvGrpSpPr>
        <xdr:cNvPr id="2" name="Shape 2" title="Drawing"/>
        <xdr:cNvGrpSpPr/>
      </xdr:nvGrpSpPr>
      <xdr:grpSpPr>
        <a:xfrm>
          <a:off x="2620525" y="2019750"/>
          <a:ext cx="5030400" cy="4228800"/>
          <a:chOff x="2620525" y="2019750"/>
          <a:chExt cx="5030400" cy="4228800"/>
        </a:xfrm>
      </xdr:grpSpPr>
      <xdr:sp>
        <xdr:nvSpPr>
          <xdr:cNvPr id="3" name="Shape 3"/>
          <xdr:cNvSpPr/>
        </xdr:nvSpPr>
        <xdr:spPr>
          <a:xfrm>
            <a:off x="2620525" y="2019750"/>
            <a:ext cx="5030400" cy="42288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4" name="Shape 4" title="Chart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2830925" y="2641313"/>
            <a:ext cx="4609599" cy="3356575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5" name="Shape 5"/>
          <xdr:cNvSpPr txBox="1"/>
        </xdr:nvSpPr>
        <xdr:spPr>
          <a:xfrm>
            <a:off x="4466725" y="2130900"/>
            <a:ext cx="1338000" cy="4311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600"/>
              <a:t>Sales Trend</a:t>
            </a:r>
            <a:endParaRPr sz="1600"/>
          </a:p>
        </xdr:txBody>
      </xdr:sp>
    </xdr:grpSp>
    <xdr:clientData fLocksWithSheet="0"/>
  </xdr:oneCellAnchor>
  <xdr:oneCellAnchor>
    <xdr:from>
      <xdr:col>8</xdr:col>
      <xdr:colOff>19050</xdr:colOff>
      <xdr:row>31</xdr:row>
      <xdr:rowOff>142875</xdr:rowOff>
    </xdr:from>
    <xdr:ext cx="5219700" cy="3695700"/>
    <xdr:grpSp>
      <xdr:nvGrpSpPr>
        <xdr:cNvPr id="2" name="Shape 2" title="Drawing"/>
        <xdr:cNvGrpSpPr/>
      </xdr:nvGrpSpPr>
      <xdr:grpSpPr>
        <a:xfrm>
          <a:off x="2891075" y="2851475"/>
          <a:ext cx="5200800" cy="3677700"/>
          <a:chOff x="2891075" y="2851475"/>
          <a:chExt cx="5200800" cy="3677700"/>
        </a:xfrm>
      </xdr:grpSpPr>
      <xdr:sp>
        <xdr:nvSpPr>
          <xdr:cNvPr id="6" name="Shape 6"/>
          <xdr:cNvSpPr/>
        </xdr:nvSpPr>
        <xdr:spPr>
          <a:xfrm>
            <a:off x="2891075" y="2851475"/>
            <a:ext cx="5200800" cy="36777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7" name="Shape 7" title="Chart"/>
          <xdr:cNvPicPr preferRelativeResize="0"/>
        </xdr:nvPicPr>
        <xdr:blipFill>
          <a:blip r:embed="rId2">
            <a:alphaModFix/>
          </a:blip>
          <a:stretch>
            <a:fillRect/>
          </a:stretch>
        </xdr:blipFill>
        <xdr:spPr>
          <a:xfrm>
            <a:off x="3055550" y="3322424"/>
            <a:ext cx="4871850" cy="301245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8" name="Shape 8"/>
          <xdr:cNvSpPr txBox="1"/>
        </xdr:nvSpPr>
        <xdr:spPr>
          <a:xfrm>
            <a:off x="4867625" y="2922225"/>
            <a:ext cx="12477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Order Status</a:t>
            </a:r>
            <a:endParaRPr sz="1400"/>
          </a:p>
        </xdr:txBody>
      </xdr:sp>
    </xdr:grpSp>
    <xdr:clientData fLocksWithSheet="0"/>
  </xdr:oneCellAnchor>
  <xdr:oneCellAnchor>
    <xdr:from>
      <xdr:col>0</xdr:col>
      <xdr:colOff>485775</xdr:colOff>
      <xdr:row>54</xdr:row>
      <xdr:rowOff>209550</xdr:rowOff>
    </xdr:from>
    <xdr:ext cx="5762625" cy="4133850"/>
    <xdr:grpSp>
      <xdr:nvGrpSpPr>
        <xdr:cNvPr id="2" name="Shape 2" title="Drawing"/>
        <xdr:cNvGrpSpPr/>
      </xdr:nvGrpSpPr>
      <xdr:grpSpPr>
        <a:xfrm>
          <a:off x="1868950" y="1779250"/>
          <a:ext cx="5742000" cy="4118400"/>
          <a:chOff x="1868950" y="1779250"/>
          <a:chExt cx="5742000" cy="4118400"/>
        </a:xfrm>
      </xdr:grpSpPr>
      <xdr:sp>
        <xdr:nvSpPr>
          <xdr:cNvPr id="9" name="Shape 9"/>
          <xdr:cNvSpPr/>
        </xdr:nvSpPr>
        <xdr:spPr>
          <a:xfrm>
            <a:off x="1868950" y="1779250"/>
            <a:ext cx="5742000" cy="41184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10" name="Shape 10" title="Chart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2057200" y="2133403"/>
            <a:ext cx="5365500" cy="3580217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1" name="Shape 11"/>
          <xdr:cNvSpPr txBox="1"/>
        </xdr:nvSpPr>
        <xdr:spPr>
          <a:xfrm>
            <a:off x="4105200" y="1779250"/>
            <a:ext cx="15432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Referral Method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647700</xdr:colOff>
      <xdr:row>54</xdr:row>
      <xdr:rowOff>209550</xdr:rowOff>
    </xdr:from>
    <xdr:ext cx="6229350" cy="3990975"/>
    <xdr:grpSp>
      <xdr:nvGrpSpPr>
        <xdr:cNvPr id="2" name="Shape 2" title="Drawing"/>
        <xdr:cNvGrpSpPr/>
      </xdr:nvGrpSpPr>
      <xdr:grpSpPr>
        <a:xfrm>
          <a:off x="2500275" y="1859400"/>
          <a:ext cx="6213000" cy="3968400"/>
          <a:chOff x="2500275" y="1859400"/>
          <a:chExt cx="6213000" cy="3968400"/>
        </a:xfrm>
      </xdr:grpSpPr>
      <xdr:sp>
        <xdr:nvSpPr>
          <xdr:cNvPr id="12" name="Shape 12"/>
          <xdr:cNvSpPr/>
        </xdr:nvSpPr>
        <xdr:spPr>
          <a:xfrm>
            <a:off x="2500275" y="1859400"/>
            <a:ext cx="6213000" cy="39684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13" name="Shape 13" title="Chart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2800500" y="2341025"/>
            <a:ext cx="5612550" cy="3320600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4" name="Shape 14"/>
          <xdr:cNvSpPr txBox="1"/>
        </xdr:nvSpPr>
        <xdr:spPr>
          <a:xfrm>
            <a:off x="4764975" y="1940825"/>
            <a:ext cx="16836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Payment Method</a:t>
            </a:r>
            <a:endParaRPr sz="1400"/>
          </a:p>
        </xdr:txBody>
      </xdr:sp>
    </xdr:grpSp>
    <xdr:clientData fLocksWithSheet="0"/>
  </xdr:oneCellAnchor>
  <xdr:oneCellAnchor>
    <xdr:from>
      <xdr:col>3</xdr:col>
      <xdr:colOff>581025</xdr:colOff>
      <xdr:row>8</xdr:row>
      <xdr:rowOff>19050</xdr:rowOff>
    </xdr:from>
    <xdr:ext cx="5562600" cy="4076700"/>
    <xdr:grpSp>
      <xdr:nvGrpSpPr>
        <xdr:cNvPr id="2" name="Shape 2" title="Drawing"/>
        <xdr:cNvGrpSpPr/>
      </xdr:nvGrpSpPr>
      <xdr:grpSpPr>
        <a:xfrm>
          <a:off x="3151625" y="1839375"/>
          <a:ext cx="5541600" cy="4058400"/>
          <a:chOff x="3151625" y="1839375"/>
          <a:chExt cx="5541600" cy="4058400"/>
        </a:xfrm>
      </xdr:grpSpPr>
      <xdr:sp>
        <xdr:nvSpPr>
          <xdr:cNvPr id="15" name="Shape 15"/>
          <xdr:cNvSpPr/>
        </xdr:nvSpPr>
        <xdr:spPr>
          <a:xfrm>
            <a:off x="3151625" y="1839375"/>
            <a:ext cx="5541600" cy="4058400"/>
          </a:xfrm>
          <a:prstGeom prst="roundRect">
            <a:avLst>
              <a:gd fmla="val 16667" name="adj"/>
            </a:avLst>
          </a:prstGeom>
          <a:solidFill>
            <a:srgbClr val="CFE2F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pic>
        <xdr:nvPicPr>
          <xdr:cNvPr id="16" name="Shape 16" title="Chart"/>
          <xdr:cNvPicPr preferRelativeResize="0"/>
        </xdr:nvPicPr>
        <xdr:blipFill>
          <a:blip r:embed="rId5">
            <a:alphaModFix/>
          </a:blip>
          <a:stretch>
            <a:fillRect/>
          </a:stretch>
        </xdr:blipFill>
        <xdr:spPr>
          <a:xfrm>
            <a:off x="3359825" y="2360425"/>
            <a:ext cx="5213076" cy="3223424"/>
          </a:xfrm>
          <a:prstGeom prst="rect">
            <a:avLst/>
          </a:prstGeom>
          <a:noFill/>
          <a:ln>
            <a:noFill/>
          </a:ln>
        </xdr:spPr>
      </xdr:pic>
      <xdr:sp>
        <xdr:nvSpPr>
          <xdr:cNvPr id="17" name="Shape 17"/>
          <xdr:cNvSpPr txBox="1"/>
        </xdr:nvSpPr>
        <xdr:spPr>
          <a:xfrm>
            <a:off x="5486525" y="1879475"/>
            <a:ext cx="8718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Product</a:t>
            </a:r>
            <a:endParaRPr sz="1400"/>
          </a:p>
        </xdr:txBody>
      </xdr:sp>
    </xdr:grp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D4" s="2" t="s">
        <v>0</v>
      </c>
      <c r="E4" s="2" t="s">
        <v>16</v>
      </c>
      <c r="F4" s="2" t="s">
        <v>15</v>
      </c>
      <c r="G4" s="2" t="s">
        <v>13</v>
      </c>
      <c r="H4" s="2" t="s">
        <v>12</v>
      </c>
      <c r="I4" s="2" t="s">
        <v>14</v>
      </c>
      <c r="J4" s="2" t="s">
        <v>11</v>
      </c>
      <c r="K4" s="2" t="s">
        <v>17</v>
      </c>
    </row>
    <row r="5">
      <c r="C5" s="2" t="s">
        <v>18</v>
      </c>
      <c r="D5" s="3">
        <v>24310.66</v>
      </c>
      <c r="E5" s="3">
        <v>5360.04</v>
      </c>
      <c r="F5" s="3">
        <v>19760.84</v>
      </c>
      <c r="G5" s="3">
        <v>23493.05</v>
      </c>
      <c r="H5" s="3">
        <v>16557.22</v>
      </c>
      <c r="I5" s="3">
        <v>15776.64</v>
      </c>
      <c r="J5" s="3">
        <v>18856.78</v>
      </c>
      <c r="K5" s="1">
        <f t="shared" ref="K5:K16" si="1">SUM(D5:J5)</f>
        <v>124115.23</v>
      </c>
    </row>
    <row r="6">
      <c r="C6" s="2" t="s">
        <v>19</v>
      </c>
      <c r="D6" s="3">
        <v>12214.34</v>
      </c>
      <c r="E6" s="3">
        <v>21456.06</v>
      </c>
      <c r="F6" s="3">
        <v>11174.04</v>
      </c>
      <c r="G6" s="3">
        <v>15745.69</v>
      </c>
      <c r="H6" s="3">
        <v>9087.61</v>
      </c>
      <c r="I6" s="3">
        <v>20492.23</v>
      </c>
      <c r="J6" s="3">
        <v>22185.81</v>
      </c>
      <c r="K6" s="1">
        <f t="shared" si="1"/>
        <v>112355.78</v>
      </c>
    </row>
    <row r="7">
      <c r="C7" s="2" t="s">
        <v>20</v>
      </c>
      <c r="D7" s="3">
        <v>12336.96</v>
      </c>
      <c r="E7" s="3">
        <v>13612.27</v>
      </c>
      <c r="F7" s="3">
        <v>20774.43</v>
      </c>
      <c r="G7" s="3">
        <v>19614.15</v>
      </c>
      <c r="H7" s="3">
        <v>13228.26</v>
      </c>
      <c r="I7" s="3">
        <v>21734.05</v>
      </c>
      <c r="J7" s="3">
        <v>22540.81</v>
      </c>
      <c r="K7" s="1">
        <f t="shared" si="1"/>
        <v>123840.93</v>
      </c>
    </row>
    <row r="8">
      <c r="C8" s="2" t="s">
        <v>21</v>
      </c>
      <c r="D8" s="3">
        <v>9401.7</v>
      </c>
      <c r="E8" s="3">
        <v>17741.53</v>
      </c>
      <c r="F8" s="3">
        <v>26051.74</v>
      </c>
      <c r="G8" s="3">
        <v>13505.25</v>
      </c>
      <c r="H8" s="3">
        <v>10926.25</v>
      </c>
      <c r="I8" s="3">
        <v>17236.65</v>
      </c>
      <c r="J8" s="3">
        <v>14322.93</v>
      </c>
      <c r="K8" s="1">
        <f t="shared" si="1"/>
        <v>109186.05</v>
      </c>
    </row>
    <row r="9">
      <c r="C9" s="2" t="s">
        <v>22</v>
      </c>
      <c r="D9" s="3">
        <v>19105.84</v>
      </c>
      <c r="E9" s="3">
        <v>19008.66</v>
      </c>
      <c r="F9" s="3">
        <v>21212.44</v>
      </c>
      <c r="G9" s="3">
        <v>17786.18</v>
      </c>
      <c r="H9" s="3">
        <v>16809.29</v>
      </c>
      <c r="I9" s="3">
        <v>19573.71</v>
      </c>
      <c r="J9" s="3">
        <v>21646.47</v>
      </c>
      <c r="K9" s="1">
        <f t="shared" si="1"/>
        <v>135142.59</v>
      </c>
    </row>
    <row r="10">
      <c r="C10" s="2" t="s">
        <v>23</v>
      </c>
      <c r="D10" s="3">
        <v>34630.07</v>
      </c>
      <c r="E10" s="3">
        <v>24887.91</v>
      </c>
      <c r="F10" s="3">
        <v>10703.01</v>
      </c>
      <c r="G10" s="3">
        <v>21277.33</v>
      </c>
      <c r="H10" s="3">
        <v>28169.44</v>
      </c>
      <c r="I10" s="3">
        <v>31552.24</v>
      </c>
      <c r="J10" s="3">
        <v>19396.13</v>
      </c>
      <c r="K10" s="1">
        <f t="shared" si="1"/>
        <v>170616.13</v>
      </c>
    </row>
    <row r="11">
      <c r="C11" s="2" t="s">
        <v>24</v>
      </c>
      <c r="D11" s="3">
        <v>14263.9</v>
      </c>
      <c r="E11" s="3">
        <v>16407.66</v>
      </c>
      <c r="F11" s="3">
        <v>18490.63</v>
      </c>
      <c r="G11" s="3">
        <v>6380.21</v>
      </c>
      <c r="H11" s="3">
        <v>8089.06</v>
      </c>
      <c r="I11" s="3">
        <v>17166.78</v>
      </c>
      <c r="J11" s="3">
        <v>4986.4</v>
      </c>
      <c r="K11" s="1">
        <f t="shared" si="1"/>
        <v>85784.64</v>
      </c>
    </row>
    <row r="12">
      <c r="C12" s="2" t="s">
        <v>25</v>
      </c>
      <c r="D12" s="3">
        <v>14110.83</v>
      </c>
      <c r="E12" s="3">
        <v>10799.11</v>
      </c>
      <c r="F12" s="3">
        <v>8016.01</v>
      </c>
      <c r="G12" s="3">
        <v>14047.23</v>
      </c>
      <c r="H12" s="3">
        <v>10651.35</v>
      </c>
      <c r="I12" s="3">
        <v>13116.82</v>
      </c>
      <c r="J12" s="3">
        <v>15601.86</v>
      </c>
      <c r="K12" s="1">
        <f t="shared" si="1"/>
        <v>86343.21</v>
      </c>
    </row>
    <row r="13">
      <c r="C13" s="2" t="s">
        <v>26</v>
      </c>
      <c r="D13" s="3">
        <v>11492.96</v>
      </c>
      <c r="E13" s="3">
        <v>14355.66</v>
      </c>
      <c r="F13" s="3">
        <v>12829.51</v>
      </c>
      <c r="G13" s="3">
        <v>3306.96</v>
      </c>
      <c r="H13" s="3">
        <v>11808.66</v>
      </c>
      <c r="I13" s="3">
        <v>2589.12</v>
      </c>
      <c r="J13" s="3">
        <v>12938.78</v>
      </c>
      <c r="K13" s="1">
        <f t="shared" si="1"/>
        <v>69321.65</v>
      </c>
    </row>
    <row r="14">
      <c r="C14" s="2" t="s">
        <v>27</v>
      </c>
      <c r="D14" s="3">
        <v>15658.27</v>
      </c>
      <c r="E14" s="3">
        <v>6827.19</v>
      </c>
      <c r="F14" s="3">
        <v>21067.52</v>
      </c>
      <c r="G14" s="3">
        <v>12027.54</v>
      </c>
      <c r="H14" s="3">
        <v>8746.86</v>
      </c>
      <c r="I14" s="3">
        <v>15299.67</v>
      </c>
      <c r="J14" s="3">
        <v>10207.77</v>
      </c>
      <c r="K14" s="1">
        <f t="shared" si="1"/>
        <v>89834.82</v>
      </c>
    </row>
    <row r="15">
      <c r="C15" s="2" t="s">
        <v>28</v>
      </c>
      <c r="D15" s="3">
        <v>17915.49</v>
      </c>
      <c r="E15" s="3">
        <v>6414.43</v>
      </c>
      <c r="F15" s="3">
        <v>15771.14</v>
      </c>
      <c r="G15" s="3">
        <v>9205.43</v>
      </c>
      <c r="H15" s="3">
        <v>12895.31</v>
      </c>
      <c r="I15" s="3">
        <v>8371.94</v>
      </c>
      <c r="J15" s="3">
        <v>4919.69</v>
      </c>
      <c r="K15" s="1">
        <f t="shared" si="1"/>
        <v>75493.43</v>
      </c>
    </row>
    <row r="16">
      <c r="C16" s="2" t="s">
        <v>29</v>
      </c>
      <c r="D16" s="3">
        <v>10170.09</v>
      </c>
      <c r="E16" s="3">
        <v>10589.41</v>
      </c>
      <c r="F16" s="3">
        <v>6275.25</v>
      </c>
      <c r="G16" s="3">
        <v>19084.39</v>
      </c>
      <c r="H16" s="3">
        <v>4753.08</v>
      </c>
      <c r="I16" s="3">
        <v>12702.76</v>
      </c>
      <c r="J16" s="3">
        <v>18965.52</v>
      </c>
      <c r="K16" s="1">
        <f t="shared" si="1"/>
        <v>82540.5</v>
      </c>
    </row>
    <row r="17">
      <c r="C17" s="2" t="s">
        <v>17</v>
      </c>
      <c r="D17" s="1">
        <f>sum(D5:D16)</f>
        <v>195611.11</v>
      </c>
      <c r="E17" s="1">
        <f t="shared" ref="E17:K17" si="2">SUM(E5:E16)</f>
        <v>167459.93</v>
      </c>
      <c r="F17" s="1">
        <f t="shared" si="2"/>
        <v>192126.56</v>
      </c>
      <c r="G17" s="1">
        <f t="shared" si="2"/>
        <v>175473.41</v>
      </c>
      <c r="H17" s="1">
        <f t="shared" si="2"/>
        <v>151722.39</v>
      </c>
      <c r="I17" s="1">
        <f t="shared" si="2"/>
        <v>195612.61</v>
      </c>
      <c r="J17" s="1">
        <f t="shared" si="2"/>
        <v>186568.95</v>
      </c>
      <c r="K17" s="1">
        <f t="shared" si="2"/>
        <v>1264574.96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E5" s="1"/>
      <c r="F5" s="2"/>
      <c r="G5" s="2"/>
      <c r="H5" s="2"/>
      <c r="I5" s="2"/>
      <c r="J5" s="2"/>
      <c r="K5" s="2"/>
      <c r="L5" s="2"/>
    </row>
    <row r="6">
      <c r="E6" s="2" t="s">
        <v>6</v>
      </c>
      <c r="F6" s="2">
        <v>235.0</v>
      </c>
    </row>
    <row r="7">
      <c r="E7" s="2" t="s">
        <v>7</v>
      </c>
      <c r="F7" s="2">
        <v>250.0</v>
      </c>
    </row>
    <row r="8">
      <c r="E8" s="2" t="s">
        <v>8</v>
      </c>
      <c r="F8" s="2">
        <v>247.0</v>
      </c>
    </row>
    <row r="9">
      <c r="E9" s="2" t="s">
        <v>9</v>
      </c>
      <c r="F9" s="2">
        <v>231.0</v>
      </c>
    </row>
    <row r="10">
      <c r="E10" s="2" t="s">
        <v>10</v>
      </c>
      <c r="F10" s="2">
        <v>237.0</v>
      </c>
    </row>
    <row r="11">
      <c r="E11" s="2"/>
    </row>
    <row r="12">
      <c r="E12" s="2"/>
    </row>
    <row r="13">
      <c r="E13" s="2"/>
    </row>
    <row r="14">
      <c r="E14" s="2"/>
    </row>
    <row r="15">
      <c r="E15" s="2"/>
    </row>
    <row r="16">
      <c r="E16" s="2"/>
    </row>
    <row r="17">
      <c r="E17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D6" s="2" t="s">
        <v>1</v>
      </c>
      <c r="E6" s="2">
        <v>259.0</v>
      </c>
    </row>
    <row r="7">
      <c r="D7" s="2" t="s">
        <v>2</v>
      </c>
      <c r="E7" s="2">
        <v>222.0</v>
      </c>
    </row>
    <row r="8">
      <c r="D8" s="2" t="s">
        <v>3</v>
      </c>
      <c r="E8" s="2">
        <v>228.0</v>
      </c>
    </row>
    <row r="9">
      <c r="D9" s="2" t="s">
        <v>4</v>
      </c>
      <c r="E9" s="2">
        <v>250.0</v>
      </c>
    </row>
    <row r="10">
      <c r="D10" s="2" t="s">
        <v>5</v>
      </c>
      <c r="E10" s="2">
        <v>241.0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6">
      <c r="F6" s="2" t="s">
        <v>0</v>
      </c>
      <c r="G6" s="2">
        <v>178.0</v>
      </c>
    </row>
    <row r="7">
      <c r="F7" s="2" t="s">
        <v>11</v>
      </c>
      <c r="G7" s="2">
        <v>179.0</v>
      </c>
    </row>
    <row r="8">
      <c r="F8" s="2" t="s">
        <v>12</v>
      </c>
      <c r="G8" s="2">
        <v>156.0</v>
      </c>
    </row>
    <row r="9">
      <c r="F9" s="2" t="s">
        <v>13</v>
      </c>
      <c r="G9" s="2">
        <v>163.0</v>
      </c>
    </row>
    <row r="10">
      <c r="F10" s="2" t="s">
        <v>14</v>
      </c>
      <c r="G10" s="2">
        <v>181.0</v>
      </c>
    </row>
    <row r="11">
      <c r="F11" s="2" t="s">
        <v>15</v>
      </c>
      <c r="G11" s="2">
        <v>173.0</v>
      </c>
    </row>
    <row r="12">
      <c r="F12" s="2" t="s">
        <v>16</v>
      </c>
      <c r="G12" s="2">
        <v>170.0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5">
      <c r="E5" s="2" t="s">
        <v>31</v>
      </c>
      <c r="F5" s="2">
        <v>258.0</v>
      </c>
    </row>
    <row r="6">
      <c r="E6" s="2" t="s">
        <v>32</v>
      </c>
      <c r="F6" s="2">
        <v>246.0</v>
      </c>
    </row>
    <row r="7">
      <c r="E7" s="2" t="s">
        <v>33</v>
      </c>
      <c r="F7" s="2">
        <v>234.0</v>
      </c>
    </row>
    <row r="8">
      <c r="E8" s="2" t="s">
        <v>34</v>
      </c>
      <c r="F8" s="2">
        <v>232.0</v>
      </c>
    </row>
    <row r="9">
      <c r="E9" s="2" t="s">
        <v>35</v>
      </c>
      <c r="F9" s="2">
        <v>230.0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E4" s="2" t="s">
        <v>30</v>
      </c>
      <c r="F4" s="2">
        <v>1264761.96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4">
      <c r="F4" s="4" t="s">
        <v>36</v>
      </c>
    </row>
  </sheetData>
  <mergeCells count="1">
    <mergeCell ref="F4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" t="e">
        <v>#REF!</v>
      </c>
    </row>
    <row r="8">
      <c r="Q8" s="2" t="s">
        <v>0</v>
      </c>
      <c r="R8" s="2" t="s">
        <v>16</v>
      </c>
      <c r="S8" s="2" t="s">
        <v>15</v>
      </c>
      <c r="T8" s="2" t="s">
        <v>13</v>
      </c>
      <c r="U8" s="2" t="s">
        <v>12</v>
      </c>
      <c r="V8" s="2" t="s">
        <v>14</v>
      </c>
      <c r="W8" s="2" t="s">
        <v>11</v>
      </c>
    </row>
    <row r="9">
      <c r="P9" s="2" t="s">
        <v>18</v>
      </c>
      <c r="Q9" s="3">
        <v>24310.66</v>
      </c>
      <c r="R9" s="3">
        <v>5360.04</v>
      </c>
      <c r="S9" s="3">
        <v>19760.84</v>
      </c>
      <c r="T9" s="3">
        <v>23493.05</v>
      </c>
      <c r="U9" s="3">
        <v>16557.22</v>
      </c>
      <c r="V9" s="3">
        <v>15776.64</v>
      </c>
      <c r="W9" s="3">
        <v>18856.78</v>
      </c>
    </row>
    <row r="10">
      <c r="P10" s="2" t="s">
        <v>19</v>
      </c>
      <c r="Q10" s="3">
        <v>12214.34</v>
      </c>
      <c r="R10" s="3">
        <v>21456.06</v>
      </c>
      <c r="S10" s="3">
        <v>11174.04</v>
      </c>
      <c r="T10" s="3">
        <v>15745.69</v>
      </c>
      <c r="U10" s="3">
        <v>9087.61</v>
      </c>
      <c r="V10" s="3">
        <v>20492.23</v>
      </c>
      <c r="W10" s="3">
        <v>22185.81</v>
      </c>
    </row>
    <row r="11">
      <c r="P11" s="2" t="s">
        <v>20</v>
      </c>
      <c r="Q11" s="3">
        <v>12336.96</v>
      </c>
      <c r="R11" s="3">
        <v>13612.27</v>
      </c>
      <c r="S11" s="3">
        <v>20774.43</v>
      </c>
      <c r="T11" s="3">
        <v>19614.15</v>
      </c>
      <c r="U11" s="3">
        <v>13228.26</v>
      </c>
      <c r="V11" s="3">
        <v>21734.05</v>
      </c>
      <c r="W11" s="3">
        <v>22540.81</v>
      </c>
    </row>
    <row r="12">
      <c r="P12" s="2" t="s">
        <v>21</v>
      </c>
      <c r="Q12" s="3">
        <v>9401.7</v>
      </c>
      <c r="R12" s="3">
        <v>17741.53</v>
      </c>
      <c r="S12" s="3">
        <v>26051.74</v>
      </c>
      <c r="T12" s="3">
        <v>13505.25</v>
      </c>
      <c r="U12" s="3">
        <v>10926.25</v>
      </c>
      <c r="V12" s="3">
        <v>17236.65</v>
      </c>
      <c r="W12" s="3">
        <v>14322.93</v>
      </c>
    </row>
    <row r="13">
      <c r="P13" s="2" t="s">
        <v>22</v>
      </c>
      <c r="Q13" s="3">
        <v>19105.84</v>
      </c>
      <c r="R13" s="3">
        <v>19008.66</v>
      </c>
      <c r="S13" s="3">
        <v>21212.44</v>
      </c>
      <c r="T13" s="3">
        <v>17786.18</v>
      </c>
      <c r="U13" s="3">
        <v>16809.29</v>
      </c>
      <c r="V13" s="3">
        <v>19573.71</v>
      </c>
      <c r="W13" s="3">
        <v>21646.47</v>
      </c>
    </row>
    <row r="14">
      <c r="P14" s="2" t="s">
        <v>23</v>
      </c>
      <c r="Q14" s="3">
        <v>34630.07</v>
      </c>
      <c r="R14" s="3">
        <v>24887.91</v>
      </c>
      <c r="S14" s="3">
        <v>10703.01</v>
      </c>
      <c r="T14" s="3">
        <v>21277.33</v>
      </c>
      <c r="U14" s="3">
        <v>28169.44</v>
      </c>
      <c r="V14" s="3">
        <v>31552.24</v>
      </c>
      <c r="W14" s="3">
        <v>19396.13</v>
      </c>
    </row>
    <row r="15">
      <c r="P15" s="2" t="s">
        <v>24</v>
      </c>
      <c r="Q15" s="3">
        <v>14263.9</v>
      </c>
      <c r="R15" s="3">
        <v>16407.66</v>
      </c>
      <c r="S15" s="3">
        <v>18490.63</v>
      </c>
      <c r="T15" s="3">
        <v>6380.21</v>
      </c>
      <c r="U15" s="3">
        <v>8089.06</v>
      </c>
      <c r="V15" s="3">
        <v>17166.78</v>
      </c>
      <c r="W15" s="3">
        <v>4986.4</v>
      </c>
    </row>
    <row r="16">
      <c r="P16" s="2" t="s">
        <v>25</v>
      </c>
      <c r="Q16" s="3">
        <v>14110.83</v>
      </c>
      <c r="R16" s="3">
        <v>10799.11</v>
      </c>
      <c r="S16" s="3">
        <v>8016.01</v>
      </c>
      <c r="T16" s="3">
        <v>14047.23</v>
      </c>
      <c r="U16" s="3">
        <v>10651.35</v>
      </c>
      <c r="V16" s="3">
        <v>13116.82</v>
      </c>
      <c r="W16" s="3">
        <v>15601.86</v>
      </c>
    </row>
    <row r="17">
      <c r="P17" s="2" t="s">
        <v>26</v>
      </c>
      <c r="Q17" s="3">
        <v>11492.96</v>
      </c>
      <c r="R17" s="3">
        <v>14355.66</v>
      </c>
      <c r="S17" s="3">
        <v>12829.51</v>
      </c>
      <c r="T17" s="3">
        <v>3306.96</v>
      </c>
      <c r="U17" s="3">
        <v>11808.66</v>
      </c>
      <c r="V17" s="3">
        <v>2589.12</v>
      </c>
      <c r="W17" s="3">
        <v>12938.78</v>
      </c>
    </row>
    <row r="18">
      <c r="P18" s="2" t="s">
        <v>27</v>
      </c>
      <c r="Q18" s="3">
        <v>15658.27</v>
      </c>
      <c r="R18" s="3">
        <v>6827.19</v>
      </c>
      <c r="S18" s="3">
        <v>21067.52</v>
      </c>
      <c r="T18" s="3">
        <v>12027.54</v>
      </c>
      <c r="U18" s="3">
        <v>8746.86</v>
      </c>
      <c r="V18" s="3">
        <v>15299.67</v>
      </c>
      <c r="W18" s="3">
        <v>10207.77</v>
      </c>
    </row>
    <row r="19">
      <c r="P19" s="2" t="s">
        <v>28</v>
      </c>
      <c r="Q19" s="3">
        <v>17915.49</v>
      </c>
      <c r="R19" s="3">
        <v>6414.43</v>
      </c>
      <c r="S19" s="3">
        <v>15771.14</v>
      </c>
      <c r="T19" s="3">
        <v>9205.43</v>
      </c>
      <c r="U19" s="3">
        <v>12895.31</v>
      </c>
      <c r="V19" s="3">
        <v>8371.94</v>
      </c>
      <c r="W19" s="3">
        <v>4919.69</v>
      </c>
    </row>
    <row r="20">
      <c r="P20" s="2" t="s">
        <v>29</v>
      </c>
      <c r="Q20" s="3">
        <v>10170.09</v>
      </c>
      <c r="R20" s="3">
        <v>10589.41</v>
      </c>
      <c r="S20" s="3">
        <v>6275.25</v>
      </c>
      <c r="T20" s="3">
        <v>19084.39</v>
      </c>
      <c r="U20" s="3">
        <v>4753.08</v>
      </c>
      <c r="V20" s="3">
        <v>12702.76</v>
      </c>
      <c r="W20" s="3">
        <v>18965.52</v>
      </c>
    </row>
    <row r="24">
      <c r="P24" s="2">
        <f>sum(N9,N17,N25,N33,N41)</f>
        <v>0</v>
      </c>
    </row>
    <row r="25">
      <c r="P25" s="2"/>
    </row>
    <row r="26">
      <c r="P26" s="2"/>
    </row>
  </sheetData>
  <drawing r:id="rId1"/>
</worksheet>
</file>